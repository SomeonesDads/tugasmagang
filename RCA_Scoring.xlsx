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yput\Downloads\"/>
    </mc:Choice>
  </mc:AlternateContent>
  <xr:revisionPtr revIDLastSave="0" documentId="13_ncr:1_{5F314860-D2FB-462A-933F-E5FF8591B630}" xr6:coauthVersionLast="47" xr6:coauthVersionMax="47" xr10:uidLastSave="{00000000-0000-0000-0000-000000000000}"/>
  <bookViews>
    <workbookView xWindow="-110" yWindow="-110" windowWidth="19420" windowHeight="11500" activeTab="1" xr2:uid="{7DF12644-B4C5-42BF-8996-E934D8601233}"/>
  </bookViews>
  <sheets>
    <sheet name="RCA" sheetId="1" r:id="rId1"/>
    <sheet name="sco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7" i="2" l="1"/>
  <c r="T8" i="2"/>
  <c r="T9" i="2"/>
  <c r="T10" i="2"/>
  <c r="T11" i="2"/>
  <c r="T12" i="2"/>
  <c r="T13" i="2"/>
  <c r="T6" i="2"/>
  <c r="P9" i="2"/>
  <c r="Q9" i="2"/>
  <c r="R9" i="2"/>
  <c r="P10" i="2"/>
  <c r="Q10" i="2"/>
  <c r="S10" i="2" s="1"/>
  <c r="R10" i="2"/>
  <c r="P11" i="2"/>
  <c r="Q11" i="2"/>
  <c r="R11" i="2"/>
  <c r="P12" i="2"/>
  <c r="Q12" i="2"/>
  <c r="R12" i="2"/>
  <c r="S12" i="2"/>
  <c r="P13" i="2"/>
  <c r="Q13" i="2"/>
  <c r="R13" i="2"/>
  <c r="P8" i="2"/>
  <c r="Q8" i="2"/>
  <c r="R8" i="2"/>
  <c r="P7" i="2"/>
  <c r="Q7" i="2"/>
  <c r="R7" i="2"/>
  <c r="R6" i="2"/>
  <c r="Q6" i="2"/>
  <c r="P6" i="2"/>
  <c r="S6" i="2" s="1"/>
  <c r="S9" i="2" l="1"/>
  <c r="S11" i="2"/>
  <c r="S13" i="2"/>
  <c r="S7" i="2"/>
  <c r="S8" i="2"/>
</calcChain>
</file>

<file path=xl/sharedStrings.xml><?xml version="1.0" encoding="utf-8"?>
<sst xmlns="http://schemas.openxmlformats.org/spreadsheetml/2006/main" count="121" uniqueCount="79">
  <si>
    <t>Hardware Problem</t>
  </si>
  <si>
    <t>Power Problem</t>
  </si>
  <si>
    <t>Transmition Problem</t>
  </si>
  <si>
    <t>Stolen</t>
  </si>
  <si>
    <t>Comcase</t>
  </si>
  <si>
    <t>Sleeping Cell</t>
  </si>
  <si>
    <t>Software Problem</t>
  </si>
  <si>
    <t>No Traffic/User</t>
  </si>
  <si>
    <t>Configuration Problem</t>
  </si>
  <si>
    <t>Database</t>
  </si>
  <si>
    <t>Cell Locked</t>
  </si>
  <si>
    <t>DAS Problem</t>
  </si>
  <si>
    <t>Hardware Hang, No Alarm</t>
  </si>
  <si>
    <t>Baseband Problem</t>
  </si>
  <si>
    <t>UMPT/UBBP Problem</t>
  </si>
  <si>
    <t>Antenna Problem</t>
  </si>
  <si>
    <t>Antenna Port Problem</t>
  </si>
  <si>
    <t>Flexible Jumper</t>
  </si>
  <si>
    <t>RRU Problem</t>
  </si>
  <si>
    <t>SFP Problem</t>
  </si>
  <si>
    <t>GPS Problem</t>
  </si>
  <si>
    <t>Optic Problem</t>
  </si>
  <si>
    <t>Rectifier Problem</t>
  </si>
  <si>
    <t>Kabel Power Problem</t>
  </si>
  <si>
    <t>Genset Problem</t>
  </si>
  <si>
    <t>Pemadaman PLN</t>
  </si>
  <si>
    <t>MMU Problem</t>
  </si>
  <si>
    <t>Metro-E Problem</t>
  </si>
  <si>
    <t>VLAN Problem</t>
  </si>
  <si>
    <t>Impact Simpul</t>
  </si>
  <si>
    <t>Fading</t>
  </si>
  <si>
    <t>Activity Project</t>
  </si>
  <si>
    <t>Activity Event</t>
  </si>
  <si>
    <t>Activity Upgrade</t>
  </si>
  <si>
    <t>Activity Downgrade</t>
  </si>
  <si>
    <t>Activity Blacksite</t>
  </si>
  <si>
    <t>stolen Baseband</t>
  </si>
  <si>
    <t>Stolen RRU</t>
  </si>
  <si>
    <t>Stolen BBU</t>
  </si>
  <si>
    <t>Stolen UBBP</t>
  </si>
  <si>
    <t>Stolen UMPT</t>
  </si>
  <si>
    <t>Stolen UBBP + UMPT</t>
  </si>
  <si>
    <t>Stolen Cable Power</t>
  </si>
  <si>
    <t>Banjir</t>
  </si>
  <si>
    <t>Site Rubuh</t>
  </si>
  <si>
    <t>Perangkat Terbakar</t>
  </si>
  <si>
    <t>NPU Problem</t>
  </si>
  <si>
    <t>RAU Problem</t>
  </si>
  <si>
    <t>Dismantled</t>
  </si>
  <si>
    <t>Force Majure</t>
  </si>
  <si>
    <t>RCA</t>
  </si>
  <si>
    <t>RCA_Detail</t>
  </si>
  <si>
    <t>Status Request Part Consumable</t>
  </si>
  <si>
    <t>Status Request Part Recovery</t>
  </si>
  <si>
    <t>Status Request Part Material Support</t>
  </si>
  <si>
    <t>Request Part NON BAU</t>
  </si>
  <si>
    <t>status detail</t>
  </si>
  <si>
    <t>on request/waiting approval/waiting delivery?</t>
  </si>
  <si>
    <t>Jika Hardware Problem dan bukan SPMS Return maka masuk ke Request Part Non BAU</t>
  </si>
  <si>
    <t>aging</t>
  </si>
  <si>
    <t>qty cell</t>
  </si>
  <si>
    <t>class</t>
  </si>
  <si>
    <t>&lt;4days</t>
  </si>
  <si>
    <t>4-7days</t>
  </si>
  <si>
    <t>8-14days</t>
  </si>
  <si>
    <t>15-30days</t>
  </si>
  <si>
    <t>&gt;30days</t>
  </si>
  <si>
    <t>&lt;3cell</t>
  </si>
  <si>
    <t>3-6cell</t>
  </si>
  <si>
    <t>qty cell [ticket in same siteid]</t>
  </si>
  <si>
    <t>&gt;6cell</t>
  </si>
  <si>
    <t>diamond</t>
  </si>
  <si>
    <t>gold</t>
  </si>
  <si>
    <t>platinum</t>
  </si>
  <si>
    <t>bronze</t>
  </si>
  <si>
    <t>silver</t>
  </si>
  <si>
    <t>Weighting</t>
  </si>
  <si>
    <t>Score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</si>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</sst>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 vertical="center" textRotation="8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A683-0C7B-4DA3-B513-B1FAC94A350B}">
  <dimension ref="A1:E44"/>
  <sheetViews>
    <sheetView topLeftCell="A34" zoomScale="90" zoomScaleNormal="90" workbookViewId="0">
      <selection activeCell="B11" sqref="B11"/>
    </sheetView>
  </sheetViews>
  <sheetFormatPr defaultRowHeight="14.5" x14ac:dyDescent="0.35"/>
  <cols>
    <col min="1" max="1" width="17.6328125" customWidth="1"/>
    <col min="2" max="2" width="42.90625" customWidth="1"/>
    <col min="4" max="4" width="39.81640625" customWidth="1"/>
    <col min="5" max="5" width="37.453125" bestFit="1" customWidth="1"/>
  </cols>
  <sheetData>
    <row r="1" spans="1:5" x14ac:dyDescent="0.35">
      <c r="A1" s="2" t="s">
        <v>50</v>
      </c>
      <c r="B1" s="2" t="s">
        <v>51</v>
      </c>
      <c r="D1" t="s">
        <v>58</v>
      </c>
    </row>
    <row r="2" spans="1:5" x14ac:dyDescent="0.35">
      <c r="A2" s="1" t="s">
        <v>6</v>
      </c>
      <c r="B2" s="1" t="s">
        <v>8</v>
      </c>
      <c r="D2" s="2" t="s">
        <v>55</v>
      </c>
      <c r="E2" s="2" t="s">
        <v>56</v>
      </c>
    </row>
    <row r="3" spans="1:5" x14ac:dyDescent="0.35">
      <c r="A3" s="1" t="s">
        <v>6</v>
      </c>
      <c r="B3" s="1" t="s">
        <v>9</v>
      </c>
      <c r="D3" s="1" t="s">
        <v>52</v>
      </c>
      <c r="E3" s="1" t="s">
        <v>57</v>
      </c>
    </row>
    <row r="4" spans="1:5" x14ac:dyDescent="0.35">
      <c r="A4" s="1" t="s">
        <v>31</v>
      </c>
      <c r="B4" s="1" t="s">
        <v>10</v>
      </c>
      <c r="D4" s="1" t="s">
        <v>53</v>
      </c>
      <c r="E4" s="1" t="s">
        <v>57</v>
      </c>
    </row>
    <row r="5" spans="1:5" x14ac:dyDescent="0.35">
      <c r="A5" s="1" t="s">
        <v>0</v>
      </c>
      <c r="B5" s="1" t="s">
        <v>11</v>
      </c>
      <c r="D5" s="1" t="s">
        <v>54</v>
      </c>
      <c r="E5" s="1" t="s">
        <v>57</v>
      </c>
    </row>
    <row r="6" spans="1:5" x14ac:dyDescent="0.35">
      <c r="A6" s="1" t="s">
        <v>0</v>
      </c>
      <c r="B6" s="1" t="s">
        <v>12</v>
      </c>
    </row>
    <row r="7" spans="1:5" x14ac:dyDescent="0.35">
      <c r="A7" s="1" t="s">
        <v>0</v>
      </c>
      <c r="B7" s="1" t="s">
        <v>13</v>
      </c>
    </row>
    <row r="8" spans="1:5" x14ac:dyDescent="0.35">
      <c r="A8" s="1" t="s">
        <v>0</v>
      </c>
      <c r="B8" s="1" t="s">
        <v>14</v>
      </c>
    </row>
    <row r="9" spans="1:5" x14ac:dyDescent="0.35">
      <c r="A9" s="1" t="s">
        <v>0</v>
      </c>
      <c r="B9" s="1" t="s">
        <v>15</v>
      </c>
    </row>
    <row r="10" spans="1:5" x14ac:dyDescent="0.35">
      <c r="A10" s="1" t="s">
        <v>0</v>
      </c>
      <c r="B10" s="1" t="s">
        <v>16</v>
      </c>
    </row>
    <row r="11" spans="1:5" x14ac:dyDescent="0.35">
      <c r="A11" s="1" t="s">
        <v>0</v>
      </c>
      <c r="B11" s="1" t="s">
        <v>17</v>
      </c>
    </row>
    <row r="12" spans="1:5" x14ac:dyDescent="0.35">
      <c r="A12" s="1" t="s">
        <v>0</v>
      </c>
      <c r="B12" s="1" t="s">
        <v>18</v>
      </c>
    </row>
    <row r="13" spans="1:5" x14ac:dyDescent="0.35">
      <c r="A13" s="1" t="s">
        <v>0</v>
      </c>
      <c r="B13" s="1" t="s">
        <v>19</v>
      </c>
    </row>
    <row r="14" spans="1:5" x14ac:dyDescent="0.35">
      <c r="A14" s="1" t="s">
        <v>0</v>
      </c>
      <c r="B14" s="1" t="s">
        <v>20</v>
      </c>
    </row>
    <row r="15" spans="1:5" x14ac:dyDescent="0.35">
      <c r="A15" s="1" t="s">
        <v>0</v>
      </c>
      <c r="B15" s="1" t="s">
        <v>21</v>
      </c>
    </row>
    <row r="16" spans="1:5" x14ac:dyDescent="0.35">
      <c r="A16" s="1" t="s">
        <v>1</v>
      </c>
      <c r="B16" s="1" t="s">
        <v>22</v>
      </c>
    </row>
    <row r="17" spans="1:2" x14ac:dyDescent="0.35">
      <c r="A17" s="1" t="s">
        <v>1</v>
      </c>
      <c r="B17" s="1" t="s">
        <v>23</v>
      </c>
    </row>
    <row r="18" spans="1:2" x14ac:dyDescent="0.35">
      <c r="A18" s="1" t="s">
        <v>1</v>
      </c>
      <c r="B18" s="1" t="s">
        <v>24</v>
      </c>
    </row>
    <row r="19" spans="1:2" x14ac:dyDescent="0.35">
      <c r="A19" s="1" t="s">
        <v>1</v>
      </c>
      <c r="B19" s="1" t="s">
        <v>25</v>
      </c>
    </row>
    <row r="20" spans="1:2" x14ac:dyDescent="0.35">
      <c r="A20" s="1" t="s">
        <v>2</v>
      </c>
      <c r="B20" s="1" t="s">
        <v>46</v>
      </c>
    </row>
    <row r="21" spans="1:2" x14ac:dyDescent="0.35">
      <c r="A21" s="1" t="s">
        <v>2</v>
      </c>
      <c r="B21" s="1" t="s">
        <v>26</v>
      </c>
    </row>
    <row r="22" spans="1:2" x14ac:dyDescent="0.35">
      <c r="A22" s="1" t="s">
        <v>2</v>
      </c>
      <c r="B22" s="1" t="s">
        <v>47</v>
      </c>
    </row>
    <row r="23" spans="1:2" x14ac:dyDescent="0.35">
      <c r="A23" s="1" t="s">
        <v>2</v>
      </c>
      <c r="B23" s="1" t="s">
        <v>27</v>
      </c>
    </row>
    <row r="24" spans="1:2" x14ac:dyDescent="0.35">
      <c r="A24" s="1" t="s">
        <v>2</v>
      </c>
      <c r="B24" s="1" t="s">
        <v>28</v>
      </c>
    </row>
    <row r="25" spans="1:2" x14ac:dyDescent="0.35">
      <c r="A25" s="1" t="s">
        <v>2</v>
      </c>
      <c r="B25" s="1" t="s">
        <v>29</v>
      </c>
    </row>
    <row r="26" spans="1:2" x14ac:dyDescent="0.35">
      <c r="A26" s="1" t="s">
        <v>2</v>
      </c>
      <c r="B26" s="1" t="s">
        <v>30</v>
      </c>
    </row>
    <row r="27" spans="1:2" x14ac:dyDescent="0.35">
      <c r="A27" s="1" t="s">
        <v>31</v>
      </c>
      <c r="B27" s="1" t="s">
        <v>32</v>
      </c>
    </row>
    <row r="28" spans="1:2" x14ac:dyDescent="0.35">
      <c r="A28" s="1" t="s">
        <v>31</v>
      </c>
      <c r="B28" s="1" t="s">
        <v>33</v>
      </c>
    </row>
    <row r="29" spans="1:2" x14ac:dyDescent="0.35">
      <c r="A29" s="1" t="s">
        <v>31</v>
      </c>
      <c r="B29" s="1" t="s">
        <v>34</v>
      </c>
    </row>
    <row r="30" spans="1:2" x14ac:dyDescent="0.35">
      <c r="A30" s="1" t="s">
        <v>31</v>
      </c>
      <c r="B30" s="1" t="s">
        <v>35</v>
      </c>
    </row>
    <row r="31" spans="1:2" x14ac:dyDescent="0.35">
      <c r="A31" s="1" t="s">
        <v>3</v>
      </c>
      <c r="B31" s="1" t="s">
        <v>36</v>
      </c>
    </row>
    <row r="32" spans="1:2" x14ac:dyDescent="0.35">
      <c r="A32" s="1" t="s">
        <v>3</v>
      </c>
      <c r="B32" s="1" t="s">
        <v>37</v>
      </c>
    </row>
    <row r="33" spans="1:2" x14ac:dyDescent="0.35">
      <c r="A33" s="1" t="s">
        <v>3</v>
      </c>
      <c r="B33" s="1" t="s">
        <v>38</v>
      </c>
    </row>
    <row r="34" spans="1:2" x14ac:dyDescent="0.35">
      <c r="A34" s="1" t="s">
        <v>3</v>
      </c>
      <c r="B34" s="1" t="s">
        <v>39</v>
      </c>
    </row>
    <row r="35" spans="1:2" x14ac:dyDescent="0.35">
      <c r="A35" s="1" t="s">
        <v>3</v>
      </c>
      <c r="B35" s="1" t="s">
        <v>40</v>
      </c>
    </row>
    <row r="36" spans="1:2" x14ac:dyDescent="0.35">
      <c r="A36" s="1" t="s">
        <v>3</v>
      </c>
      <c r="B36" s="1" t="s">
        <v>41</v>
      </c>
    </row>
    <row r="37" spans="1:2" x14ac:dyDescent="0.35">
      <c r="A37" s="1" t="s">
        <v>3</v>
      </c>
      <c r="B37" s="1" t="s">
        <v>42</v>
      </c>
    </row>
    <row r="38" spans="1:2" x14ac:dyDescent="0.35">
      <c r="A38" s="1" t="s">
        <v>49</v>
      </c>
      <c r="B38" s="1" t="s">
        <v>43</v>
      </c>
    </row>
    <row r="39" spans="1:2" x14ac:dyDescent="0.35">
      <c r="A39" s="1" t="s">
        <v>49</v>
      </c>
      <c r="B39" s="1" t="s">
        <v>44</v>
      </c>
    </row>
    <row r="40" spans="1:2" x14ac:dyDescent="0.35">
      <c r="A40" s="1" t="s">
        <v>49</v>
      </c>
      <c r="B40" s="1" t="s">
        <v>45</v>
      </c>
    </row>
    <row r="41" spans="1:2" x14ac:dyDescent="0.35">
      <c r="A41" s="1" t="s">
        <v>4</v>
      </c>
      <c r="B41" s="1" t="s">
        <v>4</v>
      </c>
    </row>
    <row r="42" spans="1:2" x14ac:dyDescent="0.35">
      <c r="A42" s="1" t="s">
        <v>5</v>
      </c>
      <c r="B42" s="1" t="s">
        <v>5</v>
      </c>
    </row>
    <row r="43" spans="1:2" x14ac:dyDescent="0.35">
      <c r="A43" s="1" t="s">
        <v>7</v>
      </c>
      <c r="B43" s="1" t="s">
        <v>7</v>
      </c>
    </row>
    <row r="44" spans="1:2" x14ac:dyDescent="0.35">
      <c r="A44" s="1" t="s">
        <v>48</v>
      </c>
      <c r="B44" s="1" t="s">
        <v>48</v>
      </c>
    </row>
  </sheetData>
  <pageMargins left="0.7" right="0.7" top="0.75" bottom="0.75" header="0.3" footer="0.3"/>
  <headerFooter>
    <oddFooter>&amp;L_x000D_&amp;1#&amp;"Aptos"&amp;8&amp;K000000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690F-79E3-4F10-826B-3920C6D19547}">
  <dimension ref="A1:T14"/>
  <sheetViews>
    <sheetView tabSelected="1" workbookViewId="0">
      <selection activeCell="J17" sqref="J17"/>
    </sheetView>
  </sheetViews>
  <sheetFormatPr defaultRowHeight="14.5" x14ac:dyDescent="0.35"/>
  <cols>
    <col min="2" max="2" width="7.81640625" bestFit="1" customWidth="1"/>
    <col min="3" max="3" width="7.36328125" bestFit="1" customWidth="1"/>
    <col min="4" max="4" width="8.36328125" bestFit="1" customWidth="1"/>
    <col min="5" max="5" width="9.36328125" bestFit="1" customWidth="1"/>
    <col min="6" max="6" width="7.7265625" bestFit="1" customWidth="1"/>
    <col min="7" max="9" width="10.54296875" customWidth="1"/>
    <col min="10" max="10" width="8.26953125" bestFit="1" customWidth="1"/>
    <col min="11" max="11" width="8.453125" bestFit="1" customWidth="1"/>
    <col min="12" max="12" width="4.36328125" bestFit="1" customWidth="1"/>
    <col min="13" max="13" width="5.36328125" bestFit="1" customWidth="1"/>
    <col min="14" max="14" width="6.453125" bestFit="1" customWidth="1"/>
  </cols>
  <sheetData>
    <row r="1" spans="1:20" x14ac:dyDescent="0.35">
      <c r="B1" s="10" t="s">
        <v>76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20" x14ac:dyDescent="0.35">
      <c r="B2" s="5">
        <v>0.4</v>
      </c>
      <c r="C2" s="5"/>
      <c r="D2" s="5"/>
      <c r="E2" s="5"/>
      <c r="F2" s="5"/>
      <c r="G2" s="5">
        <v>0.4</v>
      </c>
      <c r="H2" s="5"/>
      <c r="I2" s="5"/>
      <c r="J2" s="6">
        <v>0.2</v>
      </c>
      <c r="K2" s="6"/>
      <c r="L2" s="6"/>
      <c r="M2" s="6"/>
      <c r="N2" s="6"/>
    </row>
    <row r="3" spans="1:20" x14ac:dyDescent="0.35">
      <c r="B3" s="13" t="s">
        <v>59</v>
      </c>
      <c r="C3" s="13"/>
      <c r="D3" s="13"/>
      <c r="E3" s="13"/>
      <c r="F3" s="13"/>
      <c r="G3" s="13" t="s">
        <v>69</v>
      </c>
      <c r="H3" s="13"/>
      <c r="I3" s="13"/>
      <c r="J3" s="13" t="s">
        <v>61</v>
      </c>
      <c r="K3" s="13"/>
      <c r="L3" s="13"/>
      <c r="M3" s="13"/>
      <c r="N3" s="13"/>
    </row>
    <row r="4" spans="1:20" x14ac:dyDescent="0.35">
      <c r="B4" s="14" t="s">
        <v>62</v>
      </c>
      <c r="C4" s="14" t="s">
        <v>63</v>
      </c>
      <c r="D4" s="14" t="s">
        <v>64</v>
      </c>
      <c r="E4" s="14" t="s">
        <v>65</v>
      </c>
      <c r="F4" s="14" t="s">
        <v>66</v>
      </c>
      <c r="G4" s="14" t="s">
        <v>67</v>
      </c>
      <c r="H4" s="14" t="s">
        <v>68</v>
      </c>
      <c r="I4" s="14" t="s">
        <v>70</v>
      </c>
      <c r="J4" s="14" t="s">
        <v>71</v>
      </c>
      <c r="K4" s="14" t="s">
        <v>73</v>
      </c>
      <c r="L4" s="14" t="s">
        <v>72</v>
      </c>
      <c r="M4" s="14" t="s">
        <v>75</v>
      </c>
      <c r="N4" s="14" t="s">
        <v>74</v>
      </c>
      <c r="P4" s="16" t="s">
        <v>78</v>
      </c>
      <c r="Q4" s="16"/>
      <c r="R4" s="16"/>
      <c r="S4" s="16"/>
    </row>
    <row r="5" spans="1:20" x14ac:dyDescent="0.35">
      <c r="A5" s="4" t="s">
        <v>77</v>
      </c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1</v>
      </c>
      <c r="H5" s="7">
        <v>3</v>
      </c>
      <c r="I5" s="7">
        <v>5</v>
      </c>
      <c r="J5" s="8">
        <v>3</v>
      </c>
      <c r="K5" s="8">
        <v>2</v>
      </c>
      <c r="L5" s="8">
        <v>2</v>
      </c>
      <c r="M5" s="8">
        <v>1</v>
      </c>
      <c r="N5" s="8">
        <v>1</v>
      </c>
      <c r="P5" s="1" t="s">
        <v>59</v>
      </c>
      <c r="Q5" s="8" t="s">
        <v>60</v>
      </c>
      <c r="R5" s="1" t="s">
        <v>61</v>
      </c>
      <c r="S5" s="1" t="s">
        <v>77</v>
      </c>
    </row>
    <row r="6" spans="1:20" x14ac:dyDescent="0.35">
      <c r="A6" s="17" t="s">
        <v>78</v>
      </c>
      <c r="B6" s="9"/>
      <c r="C6" s="9"/>
      <c r="D6" s="9"/>
      <c r="E6" s="9"/>
      <c r="F6" s="9">
        <v>5</v>
      </c>
      <c r="G6" s="9">
        <v>1</v>
      </c>
      <c r="H6" s="9"/>
      <c r="I6" s="9"/>
      <c r="J6" s="9"/>
      <c r="K6" s="9"/>
      <c r="L6" s="9"/>
      <c r="M6" s="9"/>
      <c r="N6" s="9">
        <v>1</v>
      </c>
      <c r="P6" s="15">
        <f>$B$2*SUM(B6:F6)</f>
        <v>2</v>
      </c>
      <c r="Q6" s="1">
        <f>$G$2*SUM(G6:I6)</f>
        <v>0.4</v>
      </c>
      <c r="R6" s="1">
        <f>$J$2*SUM(J6:N6)</f>
        <v>0.2</v>
      </c>
      <c r="S6" s="1">
        <f>SUM(P6:R6)</f>
        <v>2.6</v>
      </c>
      <c r="T6" t="str">
        <f>IF(S6&gt;=2.6,"P1",IF(S6&gt;=2,"P2","P3"))</f>
        <v>P1</v>
      </c>
    </row>
    <row r="7" spans="1:20" x14ac:dyDescent="0.35">
      <c r="A7" s="17"/>
      <c r="B7" s="9">
        <v>1</v>
      </c>
      <c r="C7" s="9"/>
      <c r="D7" s="9"/>
      <c r="E7" s="9"/>
      <c r="F7" s="9"/>
      <c r="G7" s="9">
        <v>1</v>
      </c>
      <c r="H7" s="9"/>
      <c r="I7" s="9"/>
      <c r="J7" s="9"/>
      <c r="K7" s="9"/>
      <c r="L7" s="9"/>
      <c r="M7" s="9"/>
      <c r="N7" s="9">
        <v>1</v>
      </c>
      <c r="P7" s="15">
        <f>$B$2*SUM(B7:F7)</f>
        <v>0.4</v>
      </c>
      <c r="Q7" s="1">
        <f>$G$2*SUM(G7:I7)</f>
        <v>0.4</v>
      </c>
      <c r="R7" s="1">
        <f>$J$2*SUM(J7:N7)</f>
        <v>0.2</v>
      </c>
      <c r="S7" s="1">
        <f>SUM(P7:R7)</f>
        <v>1</v>
      </c>
      <c r="T7" t="str">
        <f t="shared" ref="T7:T13" si="0">IF(S7&gt;=2.6,"P1",IF(S7&gt;=2,"P2","P3"))</f>
        <v>P3</v>
      </c>
    </row>
    <row r="8" spans="1:20" x14ac:dyDescent="0.35">
      <c r="A8" s="17"/>
      <c r="B8" s="9"/>
      <c r="C8" s="9">
        <v>2</v>
      </c>
      <c r="D8" s="9"/>
      <c r="E8" s="9"/>
      <c r="F8" s="9"/>
      <c r="G8" s="9">
        <v>1</v>
      </c>
      <c r="H8" s="9"/>
      <c r="I8" s="9"/>
      <c r="J8" s="9">
        <v>3</v>
      </c>
      <c r="K8" s="9"/>
      <c r="L8" s="9"/>
      <c r="M8" s="9"/>
      <c r="N8" s="9"/>
      <c r="P8" s="15">
        <f>$B$2*SUM(B8:F8)</f>
        <v>0.8</v>
      </c>
      <c r="Q8" s="1">
        <f>$G$2*SUM(G8:I8)</f>
        <v>0.4</v>
      </c>
      <c r="R8" s="1">
        <f>$J$2*SUM(J8:N8)</f>
        <v>0.60000000000000009</v>
      </c>
      <c r="S8" s="1">
        <f>SUM(P8:R8)</f>
        <v>1.8000000000000003</v>
      </c>
      <c r="T8" t="str">
        <f t="shared" si="0"/>
        <v>P3</v>
      </c>
    </row>
    <row r="9" spans="1:20" x14ac:dyDescent="0.35">
      <c r="A9" s="17"/>
      <c r="B9" s="9"/>
      <c r="C9" s="9">
        <v>3</v>
      </c>
      <c r="D9" s="9"/>
      <c r="E9" s="9"/>
      <c r="F9" s="9"/>
      <c r="G9" s="9">
        <v>1</v>
      </c>
      <c r="H9" s="9"/>
      <c r="I9" s="9"/>
      <c r="J9" s="9"/>
      <c r="K9" s="9"/>
      <c r="L9" s="9"/>
      <c r="M9" s="9"/>
      <c r="N9" s="9">
        <v>1</v>
      </c>
      <c r="P9" s="15">
        <f t="shared" ref="P9:P13" si="1">$B$2*SUM(B9:F9)</f>
        <v>1.2000000000000002</v>
      </c>
      <c r="Q9" s="1">
        <f t="shared" ref="Q9:Q13" si="2">$G$2*SUM(G9:I9)</f>
        <v>0.4</v>
      </c>
      <c r="R9" s="1">
        <f t="shared" ref="R9:R13" si="3">$J$2*SUM(J9:N9)</f>
        <v>0.2</v>
      </c>
      <c r="S9" s="1">
        <f t="shared" ref="S9:S13" si="4">SUM(P9:R9)</f>
        <v>1.8</v>
      </c>
      <c r="T9" t="str">
        <f t="shared" si="0"/>
        <v>P3</v>
      </c>
    </row>
    <row r="10" spans="1:20" x14ac:dyDescent="0.35">
      <c r="A10" s="17"/>
      <c r="B10" s="9"/>
      <c r="C10" s="9">
        <v>4</v>
      </c>
      <c r="D10" s="9"/>
      <c r="E10" s="9"/>
      <c r="F10" s="9"/>
      <c r="G10" s="9">
        <v>1</v>
      </c>
      <c r="H10" s="9"/>
      <c r="I10" s="9"/>
      <c r="J10" s="9"/>
      <c r="K10" s="9"/>
      <c r="L10" s="9"/>
      <c r="M10" s="9"/>
      <c r="N10" s="9"/>
      <c r="P10" s="15">
        <f t="shared" si="1"/>
        <v>1.6</v>
      </c>
      <c r="Q10" s="1">
        <f t="shared" si="2"/>
        <v>0.4</v>
      </c>
      <c r="R10" s="1">
        <f t="shared" si="3"/>
        <v>0</v>
      </c>
      <c r="S10" s="1">
        <f t="shared" si="4"/>
        <v>2</v>
      </c>
      <c r="T10" t="str">
        <f t="shared" si="0"/>
        <v>P2</v>
      </c>
    </row>
    <row r="11" spans="1:20" x14ac:dyDescent="0.35">
      <c r="A11" s="17"/>
      <c r="B11" s="9"/>
      <c r="C11" s="9">
        <v>5</v>
      </c>
      <c r="D11" s="9"/>
      <c r="E11" s="9"/>
      <c r="F11" s="9"/>
      <c r="G11" s="9">
        <v>1</v>
      </c>
      <c r="H11" s="9"/>
      <c r="I11" s="9"/>
      <c r="J11" s="9"/>
      <c r="K11" s="9"/>
      <c r="L11" s="9"/>
      <c r="M11" s="9"/>
      <c r="N11" s="9"/>
      <c r="P11" s="15">
        <f t="shared" si="1"/>
        <v>2</v>
      </c>
      <c r="Q11" s="1">
        <f t="shared" si="2"/>
        <v>0.4</v>
      </c>
      <c r="R11" s="1">
        <f t="shared" si="3"/>
        <v>0</v>
      </c>
      <c r="S11" s="1">
        <f t="shared" si="4"/>
        <v>2.4</v>
      </c>
      <c r="T11" t="str">
        <f t="shared" si="0"/>
        <v>P2</v>
      </c>
    </row>
    <row r="12" spans="1:20" x14ac:dyDescent="0.35">
      <c r="A12" s="17"/>
      <c r="B12" s="9"/>
      <c r="C12" s="9">
        <v>6</v>
      </c>
      <c r="D12" s="9"/>
      <c r="E12" s="9"/>
      <c r="F12" s="9"/>
      <c r="G12" s="9">
        <v>1</v>
      </c>
      <c r="H12" s="9"/>
      <c r="I12" s="9"/>
      <c r="J12" s="9"/>
      <c r="K12" s="9"/>
      <c r="L12" s="9"/>
      <c r="M12" s="9"/>
      <c r="N12" s="9"/>
      <c r="P12" s="15">
        <f t="shared" si="1"/>
        <v>2.4000000000000004</v>
      </c>
      <c r="Q12" s="1">
        <f t="shared" si="2"/>
        <v>0.4</v>
      </c>
      <c r="R12" s="1">
        <f t="shared" si="3"/>
        <v>0</v>
      </c>
      <c r="S12" s="1">
        <f t="shared" si="4"/>
        <v>2.8000000000000003</v>
      </c>
      <c r="T12" t="str">
        <f t="shared" si="0"/>
        <v>P1</v>
      </c>
    </row>
    <row r="13" spans="1:20" x14ac:dyDescent="0.35">
      <c r="A13" s="17"/>
      <c r="B13" s="9"/>
      <c r="C13" s="9">
        <v>7</v>
      </c>
      <c r="D13" s="9"/>
      <c r="E13" s="9"/>
      <c r="F13" s="9"/>
      <c r="G13" s="9">
        <v>1</v>
      </c>
      <c r="H13" s="9"/>
      <c r="I13" s="9"/>
      <c r="J13" s="9"/>
      <c r="K13" s="9"/>
      <c r="L13" s="9"/>
      <c r="M13" s="9"/>
      <c r="N13" s="9"/>
      <c r="P13" s="15">
        <f t="shared" si="1"/>
        <v>2.8000000000000003</v>
      </c>
      <c r="Q13" s="1">
        <f t="shared" si="2"/>
        <v>0.4</v>
      </c>
      <c r="R13" s="1">
        <f t="shared" si="3"/>
        <v>0</v>
      </c>
      <c r="S13" s="1">
        <f t="shared" si="4"/>
        <v>3.2</v>
      </c>
      <c r="T13" t="str">
        <f t="shared" si="0"/>
        <v>P1</v>
      </c>
    </row>
    <row r="14" spans="1:20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</sheetData>
  <mergeCells count="9">
    <mergeCell ref="B1:N1"/>
    <mergeCell ref="P4:S4"/>
    <mergeCell ref="A6:A13"/>
    <mergeCell ref="J3:N3"/>
    <mergeCell ref="G3:I3"/>
    <mergeCell ref="B3:F3"/>
    <mergeCell ref="B2:F2"/>
    <mergeCell ref="G2:I2"/>
    <mergeCell ref="J2:N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caaddc-90a0-4995-b524-c269e4395a58}" enabled="1" method="Standard" siteId="{fc743075-93ed-4a5c-82c0-ca5eac9142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RCA</vt:lpstr>
      <vt:lpstr>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Roby_Putra</dc:creator>
  <cp:lastModifiedBy>Roby_Putra</cp:lastModifiedBy>
  <dcterms:created xsi:type="dcterms:W3CDTF">2026-07-10T03:33:07Z</dcterms:created>
  <dcterms:modified xsi:type="dcterms:W3CDTF">2026-07-28T07:12:08Z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2026-07-10T10:06:17Z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0e5c3565-a751-46f7-b5b7-1914277c46f9</vt:lpwstr>
  </property>
  <property fmtid="{D5CDD505-2E9C-101B-9397-08002B2CF9AE}" pid="8" name="MSIP_Label_d5caaddc-90a0-4995-b524-c269e4395a58_ContentBits">
    <vt:lpwstr>2</vt:lpwstr>
  </property>
  <property fmtid="{D5CDD505-2E9C-101B-9397-08002B2CF9AE}" pid="9" name="MSIP_Label_d5caaddc-90a0-4995-b524-c269e4395a58_Tag">
    <vt:lpwstr>10, 3, 0, 1</vt:lpwstr>
  </property>
</Properties>
</file>